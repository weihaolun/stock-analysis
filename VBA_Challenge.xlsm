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olunwei/Desktop/Github/stock-analysis/"/>
    </mc:Choice>
  </mc:AlternateContent>
  <xr:revisionPtr revIDLastSave="0" documentId="13_ncr:1_{5EA95187-D6F3-7D47-A285-51949EFAF5F1}" xr6:coauthVersionLast="47" xr6:coauthVersionMax="47" xr10:uidLastSave="{00000000-0000-0000-0000-000000000000}"/>
  <bookViews>
    <workbookView xWindow="9280" yWindow="3540" windowWidth="37800" windowHeight="2370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 Table and Charts" sheetId="5" r:id="rId5"/>
  </sheets>
  <definedNames>
    <definedName name="_xlchart.v1.0" hidden="1">'Analysis Table and Charts'!$A$4:$A$15</definedName>
    <definedName name="_xlchart.v1.1" hidden="1">'Analysis Table and Charts'!$B$3</definedName>
    <definedName name="_xlchart.v1.2" hidden="1">'Analysis Table and Charts'!$B$4:$B$15</definedName>
    <definedName name="_xlchart.v1.3" hidden="1">'Analysis Table and Charts'!$D$3</definedName>
    <definedName name="_xlchart.v1.4" hidden="1">'Analysis Table and Charts'!$D$4:$D$15</definedName>
    <definedName name="_xlchart.v1.5" hidden="1">'Analysis Table and Charts'!$A$4:$A$15</definedName>
    <definedName name="_xlchart.v1.6" hidden="1">'Analysis Table and Charts'!$B$3</definedName>
    <definedName name="_xlchart.v1.7" hidden="1">'Analysis Table and Charts'!$B$4:$B$15</definedName>
    <definedName name="_xlchart.v1.8" hidden="1">'Analysis Table and Charts'!$D$3</definedName>
    <definedName name="_xlchart.v1.9" hidden="1">'Analysis Table and Charts'!$D$4:$D$15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13" i="5"/>
  <c r="F14" i="5"/>
  <c r="F15" i="5"/>
  <c r="F4" i="5"/>
</calcChain>
</file>

<file path=xl/sharedStrings.xml><?xml version="1.0" encoding="utf-8"?>
<sst xmlns="http://schemas.openxmlformats.org/spreadsheetml/2006/main" count="12102" uniqueCount="533">
  <si>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</si>
  <si>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</si>
  <si>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</si>
  <si>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</si>
  <si>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</si>
  <si>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</si>
  <si>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</si>
  <si>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</si>
  <si>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</si>
  <si>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</si>
  <si>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</si>
  <si>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</si>
  <si>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</si>
  <si>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</si>
  <si>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</si>
  <si>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</si>
  <si>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</si>
  <si>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</si>
  <si>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</si>
  <si>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</si>
  <si>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</si>
  <si>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</si>
  <si>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</si>
  <si>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</si>
  <si>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</si>
  <si>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</si>
  <si>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</si>
  <si>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</si>
  <si>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</si>
  <si>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</si>
  <si>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</si>
  <si>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</si>
  <si>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</si>
  <si>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</si>
  <si>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</si>
  <si>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</si>
  <si>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</si>
  <si>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</si>
  <si>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</si>
  <si>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</si>
  <si>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</si>
  <si>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</si>
  <si>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</si>
  <si>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</si>
  <si>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</si>
  <si>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</si>
  <si>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</si>
  <si>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</si>
  <si>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</si>
  <si>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</si>
  <si>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</si>
  <si>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</si>
  <si>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</si>
  <si>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</si>
  <si>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</si>
  <si>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</si>
  <si>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</si>
  <si>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</si>
  <si>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</si>
  <si>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</si>
  <si>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</si>
  <si>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</si>
  <si>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</si>
  <si>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</si>
  <si>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</si>
  <si>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</si>
  <si>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</si>
  <si>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</si>
  <si>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</si>
  <si>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</si>
  <si>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</si>
  <si>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</si>
  <si>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</si>
  <si>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</si>
  <si>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</si>
  <si>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</si>
  <si>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</si>
  <si>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</si>
  <si>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</si>
  <si>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</si>
  <si>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</si>
  <si>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</si>
  <si>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</si>
  <si>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</si>
  <si>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</si>
  <si>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</si>
  <si>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</si>
  <si>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</si>
  <si>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</si>
  <si>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</si>
  <si>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</si>
  <si>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</si>
  <si>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</si>
  <si>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</si>
  <si>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</si>
  <si>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</si>
  <si>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</si>
  <si>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</si>
  <si>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</si>
  <si>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</si>
  <si>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</si>
  <si>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</si>
  <si>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</si>
  <si>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</si>
  <si>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</si>
  <si>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</si>
  <si>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</si>
  <si>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</si>
  <si>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</si>
  <si>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</si>
  <si>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</si>
  <si>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</si>
  <si>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</si>
  <si>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</si>
  <si>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</si>
  <si>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</si>
  <si>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</si>
  <si>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</si>
  <si>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</si>
  <si>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</si>
  <si>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</si>
  <si>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</si>
  <si>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</si>
  <si>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</si>
  <si>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</si>
  <si>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</si>
  <si>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</si>
  <si>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</si>
  <si>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</si>
  <si>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</si>
  <si>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</si>
  <si>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</si>
  <si>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</si>
  <si>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</si>
  <si>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</si>
  <si>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</si>
  <si>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</si>
  <si>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</si>
  <si>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</si>
  <si>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</si>
  <si>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</si>
  <si>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</si>
  <si>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</si>
  <si>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</si>
  <si>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</si>
  <si>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</si>
  <si>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</si>
  <si>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</si>
  <si>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</si>
  <si>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</si>
  <si>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</si>
  <si>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</si>
  <si>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</si>
  <si>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</si>
  <si>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</si>
  <si>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</si>
  <si>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</si>
  <si>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</si>
  <si>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</si>
  <si>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</si>
  <si>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</si>
  <si>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</si>
  <si>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</si>
  <si>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</si>
  <si>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</si>
  <si>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</si>
  <si>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</si>
  <si>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</si>
  <si>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</si>
  <si>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</si>
  <si>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</si>
  <si>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</si>
  <si>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</si>
  <si>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</si>
  <si>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</si>
  <si>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</si>
  <si>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</si>
  <si>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</si>
  <si>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</si>
  <si>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</si>
  <si>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</si>
  <si>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</si>
  <si>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</si>
  <si>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</si>
  <si>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</si>
  <si>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</si>
  <si>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</si>
  <si>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</si>
  <si>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</si>
  <si>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</si>
  <si>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</si>
  <si>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</si>
  <si>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</si>
  <si>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</si>
  <si>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</si>
  <si>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</si>
  <si>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</si>
  <si>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</si>
  <si>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</si>
  <si>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</si>
  <si>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</si>
  <si>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</si>
  <si>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</si>
  <si>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</si>
  <si>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</si>
  <si>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</si>
  <si>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</si>
  <si>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</si>
  <si>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</si>
  <si>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</si>
  <si>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</si>
  <si>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</si>
  <si>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</si>
  <si>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</si>
  <si>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</si>
  <si>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</si>
  <si>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</si>
  <si>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</si>
  <si>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</si>
  <si>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</si>
  <si>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</si>
  <si>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</si>
  <si>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</si>
  <si>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</si>
  <si>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</si>
  <si>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</si>
  <si>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</si>
  <si>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</si>
  <si>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</si>
  <si>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</si>
  <si>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</si>
  <si>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</si>
  <si>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</si>
  <si>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</si>
  <si>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</si>
  <si>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</si>
  <si>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</si>
  <si>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</si>
  <si>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</si>
  <si>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</si>
  <si>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</si>
  <si>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</si>
  <si>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</si>
  <si>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</si>
  <si>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</si>
  <si>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</si>
  <si>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</si>
  <si>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</si>
  <si>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</si>
  <si>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</si>
  <si>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</si>
  <si>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</si>
  <si>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</si>
  <si>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</si>
  <si>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</si>
  <si>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</si>
  <si>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</si>
  <si>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</si>
  <si>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</si>
  <si>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</si>
  <si>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</si>
  <si>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</si>
  <si>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</si>
  <si>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</si>
  <si>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</si>
  <si>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</si>
  <si>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</si>
  <si>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</si>
  <si>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</si>
  <si>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</si>
  <si>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</si>
  <si>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</si>
  <si>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</si>
  <si>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</si>
  <si>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</si>
  <si>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</si>
  <si>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</si>
  <si>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</si>
  <si>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</si>
  <si>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</si>
  <si>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</si>
  <si>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</si>
  <si>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</si>
  <si>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</si>
  <si>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</si>
  <si>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</si>
  <si>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</si>
  <si>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</si>
  <si>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</si>
  <si>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</si>
  <si>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</si>
  <si>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</si>
  <si>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</si>
  <si>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</si>
  <si>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</si>
  <si>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</si>
  <si>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</si>
  <si>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</si>
  <si>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</si>
  <si>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</si>
  <si>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</si>
  <si>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</si>
  <si>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</si>
  <si>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</si>
  <si>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</si>
  <si>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</si>
  <si>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</si>
  <si>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</si>
  <si>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</si>
  <si>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</si>
  <si>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</si>
  <si>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</si>
  <si>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</si>
  <si>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</si>
  <si>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</si>
  <si>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</si>
  <si>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</si>
  <si>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</si>
  <si>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</si>
  <si>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</si>
  <si>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</si>
  <si>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</si>
  <si>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</si>
  <si>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</si>
  <si>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</si>
  <si>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</si>
  <si>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</si>
  <si>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</si>
  <si>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</si>
  <si>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</si>
  <si>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</si>
  <si>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</si>
  <si>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</si>
  <si>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</si>
  <si>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</si>
  <si>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</si>
  <si>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</si>
  <si>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</si>
  <si>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</si>
  <si>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</si>
  <si>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</si>
  <si>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</si>
  <si>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</si>
  <si>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</si>
  <si>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</si>
  <si>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</si>
  <si>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</si>
  <si>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</si>
  <si>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</si>
  <si>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</si>
  <si>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</si>
  <si>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</si>
  <si>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</si>
  <si>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</si>
  <si>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</si>
  <si>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</si>
  <si>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</si>
  <si>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</si>
  <si>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</si>
  <si>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</si>
  <si>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</si>
  <si>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</si>
  <si>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</si>
  <si>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</si>
  <si>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</si>
  <si>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</si>
  <si>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</si>
  <si>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</si>
  <si>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</si>
  <si>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</si>
  <si>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</si>
  <si>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</si>
  <si>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</si>
  <si>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</si>
  <si>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</si>
  <si>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</si>
  <si>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</si>
  <si>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</si>
  <si>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</si>
  <si>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</si>
  <si>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</si>
  <si>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</si>
  <si>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</si>
  <si>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</si>
  <si>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</si>
  <si>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</si>
  <si>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</si>
  <si>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</si>
  <si>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</si>
  <si>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</si>
  <si>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</si>
  <si>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</si>
  <si>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</si>
  <si>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</si>
  <si>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</si>
  <si>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</si>
  <si>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</si>
  <si>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</si>
  <si>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</si>
  <si>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</si>
  <si>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</si>
  <si>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</si>
  <si>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</si>
  <si>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</si>
  <si>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</si>
  <si>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</si>
  <si>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</si>
  <si>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</si>
  <si>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</si>
  <si>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</si>
  <si>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</si>
  <si>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</si>
  <si>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</si>
  <si>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</si>
  <si>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</si>
  <si>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</si>
  <si>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</si>
  <si>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</si>
  <si>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</si>
  <si>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</si>
  <si>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</si>
  <si>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</si>
  <si>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</si>
  <si>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</si>
  <si>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</si>
  <si>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</si>
  <si>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</si>
  <si>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</si>
  <si>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</si>
  <si>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</si>
  <si>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</si>
  <si>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</si>
  <si>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</si>
  <si>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</si>
  <si>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</si>
  <si>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</si>
  <si>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</si>
  <si>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</si>
  <si>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</si>
  <si>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</si>
  <si>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</si>
  <si>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</si>
  <si>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</si>
  <si>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</si>
  <si>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</si>
  <si>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</si>
  <si>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</si>
  <si>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</si>
  <si>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</si>
  <si>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</si>
  <si>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</si>
  <si>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</si>
  <si>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</si>
  <si>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</si>
  <si>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</si>
  <si>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</si>
  <si>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</si>
  <si>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</si>
  <si>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</si>
  <si>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</si>
  <si>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</si>
  <si>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</si>
  <si>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</si>
  <si>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</si>
  <si>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</si>
  <si>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</si>
  <si>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</si>
  <si>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</si>
  <si>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</si>
  <si>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</si>
  <si>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</si>
  <si>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</si>
  <si>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</si>
  <si>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</si>
  <si>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</si>
  <si>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</si>
  <si>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</si>
  <si>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</si>
  <si>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</si>
  <si>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</si>
  <si>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</si>
  <si>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</si>
  <si>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</si>
  <si>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</si>
  <si>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</si>
  <si>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</si>
  <si>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</si>
  <si>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</si>
  <si>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</si>
  <si>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</si>
  <si>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</si>
  <si>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</si>
  <si>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</si>
  <si>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</si>
  <si>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</si>
  <si>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</si>
  <si>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</si>
  <si>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</si>
  <si>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</si>
  <si>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</si>
  <si>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</si>
  <si>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</si>
  <si>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</si>
  <si>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</si>
  <si>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</si>
  <si>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</si>
  <si>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</si>
  <si>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</si>
  <si>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</si>
  <si>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</si>
  <si>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</si>
  <si>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</si>
  <si>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</si>
  <si>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</si>
  <si>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</si>
  <si>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</si>
  <si>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</si>
  <si>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</si>
  <si>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</si>
  <si>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</si>
  <si>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</si>
  <si>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</si>
  <si>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</si>
  <si>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</si>
  <si>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</si>
  <si>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</si>
  <si>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</si>
  <si>
    <t>All Stocks (2017)</t>
  </si>
  <si>
    <t>2017 Total Daily Volume</t>
  </si>
  <si>
    <t>2018 Total Daily Volume</t>
  </si>
  <si>
    <t>2017 Return</t>
  </si>
  <si>
    <t>2018 Return</t>
  </si>
  <si>
    <t>All Stocks (2017 vs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</si>
</sst>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164" fontId="0" fillId="0" borderId="0" xfId="0" applyNumberFormat="1" applyFill="1"/>
  </cellXfs>
  <cellStyles count="1">
    <cellStyle name="Normal" xfId="0" builtinId="0"/>
  </cellStyles>
  <dxfs count="9"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Total Volume 2017</a:t>
            </a:r>
            <a:r>
              <a:rPr lang="en-US" baseline="0">
                <a:solidFill>
                  <a:schemeClr val="tx1"/>
                </a:solidFill>
              </a:rPr>
              <a:t>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B-4A4F-AC7B-A8C31112F6F1}"/>
            </c:ext>
          </c:extLst>
        </c:ser>
        <c:ser>
          <c:idx val="1"/>
          <c:order val="1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B-4A4F-AC7B-A8C31112F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3689343"/>
        <c:axId val="353690991"/>
      </c:barChart>
      <c:catAx>
        <c:axId val="3536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90991"/>
        <c:crosses val="autoZero"/>
        <c:auto val="1"/>
        <c:lblAlgn val="ctr"/>
        <c:lblOffset val="100"/>
        <c:noMultiLvlLbl val="0"/>
      </c:catAx>
      <c:valAx>
        <c:axId val="35369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893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Return</a:t>
            </a:r>
            <a:r>
              <a:rPr lang="en-US" baseline="0">
                <a:solidFill>
                  <a:schemeClr val="tx1"/>
                </a:solidFill>
              </a:rPr>
              <a:t> 2017 vs.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DB4B-AEFB-E0C14BF40324}"/>
            </c:ext>
          </c:extLst>
        </c:ser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DB4B-AEFB-E0C14BF40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808959"/>
        <c:axId val="353639519"/>
      </c:barChart>
      <c:catAx>
        <c:axId val="553808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39519"/>
        <c:crosses val="autoZero"/>
        <c:auto val="1"/>
        <c:lblAlgn val="ctr"/>
        <c:lblOffset val="100"/>
        <c:noMultiLvlLbl val="0"/>
      </c:catAx>
      <c:valAx>
        <c:axId val="35363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08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2017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Charts'!$B$3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Charts'!$D$3</c:f>
              <c:strCache>
                <c:ptCount val="1"/>
                <c:pt idx="0">
                  <c:v>2017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Charts'!$D$4:$D$15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67-4A4C-9DC6-14410AF2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2018 Total</a:t>
            </a:r>
            <a:r>
              <a:rPr lang="en-US" baseline="0">
                <a:solidFill>
                  <a:schemeClr val="tx1"/>
                </a:solidFill>
              </a:rPr>
              <a:t> Daily Volume vs. Return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'Analysis Table and Charts'!$C$3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Table and Charts'!$C$4:$C$15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8895072"/>
        <c:axId val="1488756064"/>
      </c:barChart>
      <c:scatterChart>
        <c:scatterStyle val="lineMarker"/>
        <c:varyColors val="0"/>
        <c:ser>
          <c:idx val="1"/>
          <c:order val="1"/>
          <c:tx>
            <c:strRef>
              <c:f>'Analysis Table and Charts'!$E$3</c:f>
              <c:strCache>
                <c:ptCount val="1"/>
                <c:pt idx="0">
                  <c:v>2018 Return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'Analysis Table and Charts'!$A$4:$A$15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xVal>
          <c:yVal>
            <c:numRef>
              <c:f>'Analysis Table and Charts'!$E$4:$E$15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D7-9044-B54E-41E83D6CB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844528"/>
        <c:axId val="1860031536"/>
      </c:scatterChart>
      <c:catAx>
        <c:axId val="148889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756064"/>
        <c:crosses val="autoZero"/>
        <c:auto val="1"/>
        <c:lblAlgn val="ctr"/>
        <c:lblOffset val="100"/>
        <c:noMultiLvlLbl val="0"/>
      </c:catAx>
      <c:valAx>
        <c:axId val="148875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89507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860031536"/>
        <c:scaling>
          <c:orientation val="minMax"/>
          <c:max val="2"/>
          <c:min val="-1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844528"/>
        <c:crosses val="max"/>
        <c:crossBetween val="midCat"/>
      </c:valAx>
      <c:valAx>
        <c:axId val="185984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6003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787400</xdr:colOff>
          <xdr:row>0</xdr:row>
          <xdr:rowOff>76200</xdr:rowOff>
        </xdr:from>
        <xdr:to>
          <xdr:col>4</xdr:col>
          <xdr:colOff>660400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177800</xdr:rowOff>
        </xdr:from>
        <xdr:to>
          <xdr:col>4</xdr:col>
          <xdr:colOff>431800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508000</xdr:colOff>
          <xdr:row>3</xdr:row>
          <xdr:rowOff>88900</xdr:rowOff>
        </xdr:from>
        <xdr:to>
          <xdr:col>5</xdr:col>
          <xdr:colOff>431800</xdr:colOff>
          <xdr:row>4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736600</xdr:colOff>
          <xdr:row>8</xdr:row>
          <xdr:rowOff>25400</xdr:rowOff>
        </xdr:from>
        <xdr:to>
          <xdr:col>5</xdr:col>
          <xdr:colOff>165100</xdr:colOff>
          <xdr:row>9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5</xdr:row>
          <xdr:rowOff>165100</xdr:rowOff>
        </xdr:from>
        <xdr:to>
          <xdr:col>5</xdr:col>
          <xdr:colOff>533400</xdr:colOff>
          <xdr:row>7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Analysis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543757</xdr:colOff>
      <xdr:row>16</xdr:row>
      <xdr:rowOff>6288</xdr:rowOff>
    </xdr:from>
    <xdr:to>
      <xdr:col>3</xdr:col>
      <xdr:colOff>1102310</xdr:colOff>
      <xdr:row>30</xdr:row>
      <xdr:rowOff>73857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540675</xdr:colOff>
      <xdr:row>31</xdr:row>
      <xdr:rowOff>18618</xdr:rowOff>
    </xdr:from>
    <xdr:to>
      <xdr:col>3</xdr:col>
      <xdr:colOff>1099228</xdr:colOff>
      <xdr:row>45</xdr:row>
      <xdr:rowOff>86187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1166425</xdr:colOff>
      <xdr:row>16</xdr:row>
      <xdr:rowOff>6288</xdr:rowOff>
    </xdr:from>
    <xdr:to>
      <xdr:col>8</xdr:col>
      <xdr:colOff>652260</xdr:colOff>
      <xdr:row>30</xdr:row>
      <xdr:rowOff>73857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AF17347-4136-B348-AE42-729CC6604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1165194</xdr:colOff>
      <xdr:row>31</xdr:row>
      <xdr:rowOff>18494</xdr:rowOff>
    </xdr:from>
    <xdr:to>
      <xdr:col>8</xdr:col>
      <xdr:colOff>651029</xdr:colOff>
      <xdr:row>45</xdr:row>
      <xdr:rowOff>86063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F95114-F04F-0442-AF43-EB74A2422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125" zoomScale="125" zoomScaleNormal="266" workbookViewId="0">
      <selection activeCell="K14" sqref="K14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82" workbookViewId="0">
      <selection activeCell="F2" sqref="F2"/>
    </sheetView>
  </sheetViews>
  <sheetFormatPr baseColWidth="10" defaultColWidth="8.83203125" defaultRowHeight="15" x14ac:dyDescent="0.2"/>
  <cols>
    <col min="1" max="1" width="5.83203125" bestFit="1" customWidth="1"/>
    <col min="2" max="7" width="10.1640625" bestFit="1" customWidth="1"/>
    <col min="8" max="8" width="9.1640625" bestFit="1" customWidth="1"/>
  </cols>
  <sheetData>
    <row r="1" spans="1:8" x14ac:dyDescent="0.2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ED7A-F436-D349-98AE-6D8497D4029F}">
  <sheetPr codeName="Sheet3"/>
  <dimension ref="A1:C4"/>
  <sheetViews>
    <sheetView zoomScale="166" zoomScaleNormal="318" workbookViewId="0">
      <selection activeCell="C4" sqref="C4"/>
    </sheetView>
  </sheetViews>
  <sheetFormatPr baseColWidth="10" defaultRowHeight="15" x14ac:dyDescent="0.2"/>
  <cols>
    <col min="1" max="1" width="14.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QAnalysis">
                <anchor moveWithCells="1" sizeWithCells="1">
                  <from>
                    <xdr:col>2</xdr:col>
                    <xdr:colOff>787400</xdr:colOff>
                    <xdr:row>0</xdr:row>
                    <xdr:rowOff>76200</xdr:rowOff>
                  </from>
                  <to>
                    <xdr:col>4</xdr:col>
                    <xdr:colOff>660400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203200</xdr:colOff>
                    <xdr:row>1</xdr:row>
                    <xdr:rowOff>177800</xdr:rowOff>
                  </from>
                  <to>
                    <xdr:col>4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ED18-448C-AE42-917B-EA026D82E7D8}">
  <sheetPr codeName="Sheet4"/>
  <dimension ref="A1:C15"/>
  <sheetViews>
    <sheetView zoomScale="150" zoomScaleNormal="277" workbookViewId="0">
      <selection activeCell="D22" sqref="D22"/>
    </sheetView>
  </sheetViews>
  <sheetFormatPr baseColWidth="10" defaultRowHeight="15" x14ac:dyDescent="0.2"/>
  <cols>
    <col min="2" max="2" width="15.832031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AllStocksAnalysis">
                <anchor moveWithCells="1" sizeWithCells="1">
                  <from>
                    <xdr:col>3</xdr:col>
                    <xdr:colOff>508000</xdr:colOff>
                    <xdr:row>3</xdr:row>
                    <xdr:rowOff>88900</xdr:rowOff>
                  </from>
                  <to>
                    <xdr:col>5</xdr:col>
                    <xdr:colOff>431800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Worksheet">
                <anchor moveWithCells="1" sizeWithCells="1">
                  <from>
                    <xdr:col>3</xdr:col>
                    <xdr:colOff>736600</xdr:colOff>
                    <xdr:row>8</xdr:row>
                    <xdr:rowOff>25400</xdr:rowOff>
                  </from>
                  <to>
                    <xdr:col>5</xdr:col>
                    <xdr:colOff>165100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406400</xdr:colOff>
                    <xdr:row>5</xdr:row>
                    <xdr:rowOff>165100</xdr:rowOff>
                  </from>
                  <to>
                    <xdr:col>5</xdr:col>
                    <xdr:colOff>533400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30D8-9858-3140-9765-F59679F13E05}">
  <sheetPr codeName="Sheet5"/>
  <dimension ref="A1:F15"/>
  <sheetViews>
    <sheetView tabSelected="1" topLeftCell="A15" zoomScale="206" workbookViewId="0">
      <selection activeCell="J24" sqref="J24"/>
    </sheetView>
  </sheetViews>
  <sheetFormatPr baseColWidth="10" defaultRowHeight="15" x14ac:dyDescent="0.2"/>
  <cols>
    <col min="2" max="2" width="20.6640625" bestFit="1" customWidth="1"/>
    <col min="3" max="3" width="21.1640625" bestFit="1" customWidth="1"/>
    <col min="4" max="4" width="15.6640625" customWidth="1"/>
    <col min="5" max="5" width="18.5" customWidth="1"/>
  </cols>
  <sheetData>
    <row r="1" spans="1:6" x14ac:dyDescent="0.2">
      <c r="A1" t="s">
        <v>532</v>
      </c>
    </row>
    <row r="3" spans="1:6" x14ac:dyDescent="0.2">
      <c r="A3" s="2" t="s">
        <v>0</v>
      </c>
      <c r="B3" s="2" t="s">
        <v>528</v>
      </c>
      <c r="C3" s="2" t="s">
        <v>529</v>
      </c>
      <c r="D3" s="2" t="s">
        <v>530</v>
      </c>
      <c r="E3" s="2" t="s">
        <v>531</v>
      </c>
    </row>
    <row r="4" spans="1:6" x14ac:dyDescent="0.2">
      <c r="A4" t="s">
        <v>8</v>
      </c>
      <c r="B4" s="3">
        <v>136070900</v>
      </c>
      <c r="C4" s="3">
        <v>83079900</v>
      </c>
      <c r="D4" s="6">
        <v>8.9368253946304321E-2</v>
      </c>
      <c r="E4" s="6">
        <v>-7.2847634553909302E-2</v>
      </c>
      <c r="F4" s="3">
        <f>C4-B4</f>
        <v>-52991000</v>
      </c>
    </row>
    <row r="5" spans="1:6" x14ac:dyDescent="0.2">
      <c r="A5" t="s">
        <v>9</v>
      </c>
      <c r="B5" s="3">
        <v>310592800</v>
      </c>
      <c r="C5" s="3">
        <v>200879900</v>
      </c>
      <c r="D5" s="6">
        <v>0.33070248365402222</v>
      </c>
      <c r="E5" s="6">
        <v>-0.16336052119731903</v>
      </c>
      <c r="F5" s="3">
        <f t="shared" ref="F5:F15" si="0">C5-B5</f>
        <v>-109712900</v>
      </c>
    </row>
    <row r="6" spans="1:6" x14ac:dyDescent="0.2">
      <c r="A6" t="s">
        <v>10</v>
      </c>
      <c r="B6" s="3">
        <v>35796200</v>
      </c>
      <c r="C6" s="3">
        <v>107873900</v>
      </c>
      <c r="D6" s="6">
        <v>1.9944583177566528</v>
      </c>
      <c r="E6" s="6">
        <v>-0.62601888179779053</v>
      </c>
      <c r="F6" s="3">
        <f t="shared" si="0"/>
        <v>72077700</v>
      </c>
    </row>
    <row r="7" spans="1:6" x14ac:dyDescent="0.2">
      <c r="A7" t="s">
        <v>11</v>
      </c>
      <c r="B7" s="3">
        <v>221772100</v>
      </c>
      <c r="C7" s="3">
        <v>607473500</v>
      </c>
      <c r="D7" s="6">
        <v>1.2952382564544678</v>
      </c>
      <c r="E7" s="6">
        <v>0.81923085451126099</v>
      </c>
      <c r="F7" s="3">
        <f t="shared" si="0"/>
        <v>385701400</v>
      </c>
    </row>
    <row r="8" spans="1:6" x14ac:dyDescent="0.2">
      <c r="A8" t="s">
        <v>12</v>
      </c>
      <c r="B8" s="3">
        <v>684181400</v>
      </c>
      <c r="C8" s="3">
        <v>478113900</v>
      </c>
      <c r="D8" s="6">
        <v>1.0131185054779053</v>
      </c>
      <c r="E8" s="6">
        <v>-0.39713191986083984</v>
      </c>
      <c r="F8" s="3">
        <f t="shared" si="0"/>
        <v>-206067500</v>
      </c>
    </row>
    <row r="9" spans="1:6" x14ac:dyDescent="0.2">
      <c r="A9" t="s">
        <v>13</v>
      </c>
      <c r="B9" s="3">
        <v>80949300</v>
      </c>
      <c r="C9" s="3">
        <v>104340600</v>
      </c>
      <c r="D9" s="6">
        <v>0.2583681046962738</v>
      </c>
      <c r="E9" s="6">
        <v>-0.20658062398433685</v>
      </c>
      <c r="F9" s="3">
        <f t="shared" si="0"/>
        <v>23391300</v>
      </c>
    </row>
    <row r="10" spans="1:6" x14ac:dyDescent="0.2">
      <c r="A10" t="s">
        <v>14</v>
      </c>
      <c r="B10" s="3">
        <v>191632200</v>
      </c>
      <c r="C10" s="3">
        <v>158309000</v>
      </c>
      <c r="D10" s="6">
        <v>0.53870755434036255</v>
      </c>
      <c r="E10" s="6">
        <v>-0.6053471565246582</v>
      </c>
      <c r="F10" s="3">
        <f t="shared" si="0"/>
        <v>-33323200</v>
      </c>
    </row>
    <row r="11" spans="1:6" x14ac:dyDescent="0.2">
      <c r="A11" t="s">
        <v>15</v>
      </c>
      <c r="B11" s="3">
        <v>267681300</v>
      </c>
      <c r="C11" s="3">
        <v>502757100</v>
      </c>
      <c r="D11" s="6">
        <v>5.5456161499023438E-2</v>
      </c>
      <c r="E11" s="6">
        <v>0.83952707052230835</v>
      </c>
      <c r="F11" s="3">
        <f t="shared" si="0"/>
        <v>235075800</v>
      </c>
    </row>
    <row r="12" spans="1:6" x14ac:dyDescent="0.2">
      <c r="A12" t="s">
        <v>16</v>
      </c>
      <c r="B12" s="3">
        <v>206885200</v>
      </c>
      <c r="C12" s="3">
        <v>237212300</v>
      </c>
      <c r="D12" s="6">
        <v>1.8446969985961914</v>
      </c>
      <c r="E12" s="6">
        <v>-7.7529586851596832E-2</v>
      </c>
      <c r="F12" s="3">
        <f t="shared" si="0"/>
        <v>30327100</v>
      </c>
    </row>
    <row r="13" spans="1:6" x14ac:dyDescent="0.2">
      <c r="A13" t="s">
        <v>17</v>
      </c>
      <c r="B13" s="3">
        <v>782187000</v>
      </c>
      <c r="C13" s="3">
        <v>538024300</v>
      </c>
      <c r="D13" s="6">
        <v>0.23065699636936188</v>
      </c>
      <c r="E13" s="6">
        <v>-0.44593092799186707</v>
      </c>
      <c r="F13" s="3">
        <f t="shared" si="0"/>
        <v>-244162700</v>
      </c>
    </row>
    <row r="14" spans="1:6" x14ac:dyDescent="0.2">
      <c r="A14" t="s">
        <v>18</v>
      </c>
      <c r="B14" s="3">
        <v>139402800</v>
      </c>
      <c r="C14" s="3">
        <v>151434700</v>
      </c>
      <c r="D14" s="6">
        <v>-7.2148971259593964E-2</v>
      </c>
      <c r="E14" s="6">
        <v>-4.9957673996686935E-2</v>
      </c>
      <c r="F14" s="3">
        <f t="shared" si="0"/>
        <v>12031900</v>
      </c>
    </row>
    <row r="15" spans="1:6" x14ac:dyDescent="0.2">
      <c r="A15" t="s">
        <v>19</v>
      </c>
      <c r="B15" s="3">
        <v>109487900</v>
      </c>
      <c r="C15" s="3">
        <v>136539100</v>
      </c>
      <c r="D15" s="6">
        <v>0.50000005960464478</v>
      </c>
      <c r="E15" s="6">
        <v>-3.5443063825368881E-2</v>
      </c>
      <c r="F15" s="3">
        <f t="shared" si="0"/>
        <v>27051200</v>
      </c>
    </row>
  </sheetData>
  <phoneticPr fontId="3" type="noConversion"/>
  <conditionalFormatting sqref="D4:E15">
    <cfRule type="cellIs" dxfId="3" priority="2" operator="greaterThan">
      <formula>0</formula>
    </cfRule>
    <cfRule type="cellIs" dxfId="4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 Table and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Haolun Wei</cp:lastModifiedBy>
  <dcterms:created xsi:type="dcterms:W3CDTF">2019-05-02T20:23:55Z</dcterms:created>
  <dcterms:modified xsi:type="dcterms:W3CDTF">2021-06-25T10:50:54Z</dcterms:modified>
</cp:coreProperties>
</file>