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aolunwei/Desktop/Github/stock-analysis/"/>
    </mc:Choice>
  </mc:AlternateContent>
  <xr:revisionPtr revIDLastSave="0" documentId="13_ncr:1_{B04E5515-098C-1740-8E98-10BF76A80223}" xr6:coauthVersionLast="47" xr6:coauthVersionMax="47" xr10:uidLastSave="{00000000-0000-0000-0000-000000000000}"/>
  <bookViews>
    <workbookView xWindow="0" yWindow="500" windowWidth="51200" windowHeight="267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nalysis Table and Chart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5" l="1"/>
  <c r="F6" i="5"/>
  <c r="F7" i="5"/>
  <c r="F8" i="5"/>
  <c r="F9" i="5"/>
  <c r="F10" i="5"/>
  <c r="F11" i="5"/>
  <c r="F12" i="5"/>
  <c r="F13" i="5"/>
  <c r="F14" i="5"/>
  <c r="F15" i="5"/>
  <c r="F4" i="5"/>
  <c r="G5" i="5"/>
  <c r="G6" i="5"/>
  <c r="G7" i="5"/>
  <c r="G8" i="5"/>
  <c r="G9" i="5"/>
  <c r="G10" i="5"/>
  <c r="G11" i="5"/>
  <c r="G12" i="5"/>
  <c r="G13" i="5"/>
  <c r="G14" i="5"/>
  <c r="G15" i="5"/>
  <c r="G4" i="5"/>
</calcChain>
</file>

<file path=xl/sharedStrings.xml><?xml version="1.0" encoding="utf-8"?>
<sst xmlns="http://schemas.openxmlformats.org/spreadsheetml/2006/main" count="12104" uniqueCount="535">
  <si>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</si>
  <si>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</si>
  <si>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</si>
  <si>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</si>
  <si>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</si>
  <si>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</si>
  <si>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</si>
  <si>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</si>
  <si>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</si>
  <si>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</si>
  <si>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</si>
  <si>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</si>
  <si>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</si>
  <si>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</si>
  <si>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</si>
  <si>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</si>
  <si>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</si>
  <si>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</si>
  <si>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</si>
  <si>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</si>
  <si>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</si>
  <si>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</si>
  <si>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</si>
  <si>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</si>
  <si>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</si>
  <si>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</si>
  <si>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</si>
  <si>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</si>
  <si>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</si>
  <si>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</si>
  <si>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</si>
  <si>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</si>
  <si>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</si>
  <si>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</si>
  <si>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</si>
  <si>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</si>
  <si>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</si>
  <si>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</si>
  <si>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</si>
  <si>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</si>
  <si>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</si>
  <si>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</si>
  <si>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</si>
  <si>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</si>
  <si>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</si>
  <si>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</si>
  <si>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</si>
  <si>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</si>
  <si>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</si>
  <si>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</si>
  <si>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</si>
  <si>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</si>
  <si>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</si>
  <si>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</si>
  <si>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</si>
  <si>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</si>
  <si>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</si>
  <si>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</si>
  <si>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</si>
  <si>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</si>
  <si>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</si>
  <si>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</si>
  <si>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</si>
  <si>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</si>
  <si>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</si>
  <si>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</si>
  <si>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</si>
  <si>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</si>
  <si>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</si>
  <si>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</si>
  <si>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</si>
  <si>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</si>
  <si>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</si>
  <si>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</si>
  <si>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</si>
  <si>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</si>
  <si>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</si>
  <si>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</si>
  <si>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</si>
  <si>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</si>
  <si>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</si>
  <si>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</si>
  <si>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</si>
  <si>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</si>
  <si>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</si>
  <si>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</si>
  <si>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</si>
  <si>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</si>
  <si>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</si>
  <si>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</si>
  <si>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</si>
  <si>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</si>
  <si>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</si>
  <si>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</si>
  <si>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</si>
  <si>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</si>
  <si>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</si>
  <si>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</si>
  <si>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</si>
  <si>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</si>
  <si>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</si>
  <si>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</si>
  <si>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</si>
  <si>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</si>
  <si>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</si>
  <si>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</si>
  <si>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</si>
  <si>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</si>
  <si>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</si>
  <si>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</si>
  <si>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</si>
  <si>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</si>
  <si>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</si>
  <si>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</si>
  <si>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</si>
  <si>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</si>
  <si>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</si>
  <si>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</si>
  <si>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</si>
  <si>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</si>
  <si>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</si>
  <si>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</si>
  <si>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</si>
  <si>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</si>
  <si>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</si>
  <si>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</si>
  <si>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</si>
  <si>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</si>
  <si>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</si>
  <si>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</si>
  <si>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</si>
  <si>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</si>
  <si>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</si>
  <si>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</si>
  <si>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</si>
  <si>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</si>
  <si>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</si>
  <si>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</si>
  <si>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</si>
  <si>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</si>
  <si>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</si>
  <si>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</si>
  <si>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</si>
  <si>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</si>
  <si>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</si>
  <si>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</si>
  <si>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</si>
  <si>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</si>
  <si>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</si>
  <si>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</si>
  <si>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</si>
  <si>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</si>
  <si>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</si>
  <si>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</si>
  <si>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</si>
  <si>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</si>
  <si>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</si>
  <si>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</si>
  <si>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</si>
  <si>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</si>
  <si>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</si>
  <si>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</si>
  <si>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</si>
  <si>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</si>
  <si>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</si>
  <si>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</si>
  <si>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</si>
  <si>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</si>
  <si>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</si>
  <si>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</si>
  <si>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</si>
  <si>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</si>
  <si>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</si>
  <si>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</si>
  <si>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</si>
  <si>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</si>
  <si>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</si>
  <si>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</si>
  <si>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</si>
  <si>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</si>
  <si>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</si>
  <si>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</si>
  <si>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</si>
  <si>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</si>
  <si>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</si>
  <si>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</si>
  <si>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</si>
  <si>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</si>
  <si>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</si>
  <si>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</si>
  <si>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</si>
  <si>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</si>
  <si>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</si>
  <si>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</si>
  <si>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</si>
  <si>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</si>
  <si>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</si>
  <si>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</si>
  <si>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</si>
  <si>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</si>
  <si>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</si>
  <si>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</si>
  <si>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</si>
  <si>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</si>
  <si>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</si>
  <si>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</si>
  <si>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</si>
  <si>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</si>
  <si>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</si>
  <si>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</si>
  <si>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</si>
  <si>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</si>
  <si>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</si>
  <si>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</si>
  <si>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</si>
  <si>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</si>
  <si>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</si>
  <si>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</si>
  <si>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</si>
  <si>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</si>
  <si>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</si>
  <si>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</si>
  <si>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</si>
  <si>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</si>
  <si>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</si>
  <si>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</si>
  <si>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</si>
  <si>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</si>
  <si>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</si>
  <si>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</si>
  <si>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</si>
  <si>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</si>
  <si>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</si>
  <si>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</si>
  <si>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</si>
  <si>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</si>
  <si>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</si>
  <si>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</si>
  <si>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</si>
  <si>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</si>
  <si>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</si>
  <si>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</si>
  <si>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</si>
  <si>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</si>
  <si>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</si>
  <si>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</si>
  <si>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</si>
  <si>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</si>
  <si>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</si>
  <si>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</si>
  <si>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</si>
  <si>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</si>
  <si>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</si>
  <si>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</si>
  <si>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</si>
  <si>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</si>
  <si>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</si>
  <si>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</si>
  <si>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</si>
  <si>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</si>
  <si>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</si>
  <si>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</si>
  <si>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</si>
  <si>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</si>
  <si>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</si>
  <si>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</si>
  <si>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</si>
  <si>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</si>
  <si>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</si>
  <si>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</si>
  <si>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</si>
  <si>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</si>
  <si>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</si>
  <si>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</si>
  <si>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</si>
  <si>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</si>
  <si>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</si>
  <si>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</si>
  <si>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</si>
  <si>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</si>
  <si>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</si>
  <si>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</si>
  <si>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</si>
  <si>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</si>
  <si>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</si>
  <si>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</si>
  <si>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</si>
  <si>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</si>
  <si>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</si>
  <si>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</si>
  <si>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</si>
  <si>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</si>
  <si>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</si>
  <si>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</si>
  <si>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</si>
  <si>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</si>
  <si>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</si>
  <si>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</si>
  <si>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</si>
  <si>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</si>
  <si>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</si>
  <si>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</si>
  <si>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</si>
  <si>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</si>
  <si>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</si>
  <si>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</si>
  <si>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</si>
  <si>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</si>
  <si>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</si>
  <si>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</si>
  <si>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</si>
  <si>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</si>
  <si>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</si>
  <si>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</si>
  <si>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</si>
  <si>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</si>
  <si>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</si>
  <si>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</si>
  <si>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</si>
  <si>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</si>
  <si>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</si>
  <si>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</si>
  <si>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</si>
  <si>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</si>
  <si>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</si>
  <si>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</si>
  <si>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</si>
  <si>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</si>
  <si>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</si>
  <si>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</si>
  <si>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</si>
  <si>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</si>
  <si>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</si>
  <si>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</si>
  <si>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</si>
  <si>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</si>
  <si>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</si>
  <si>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</si>
  <si>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</si>
  <si>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</si>
  <si>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</si>
  <si>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</si>
  <si>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</si>
  <si>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</si>
  <si>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</si>
  <si>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</si>
  <si>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</si>
  <si>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</si>
  <si>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</si>
  <si>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</si>
  <si>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</si>
  <si>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</si>
  <si>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</si>
  <si>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</si>
  <si>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</si>
  <si>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</si>
  <si>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</si>
  <si>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</si>
  <si>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</si>
  <si>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</si>
  <si>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</si>
  <si>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</si>
  <si>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</si>
  <si>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</si>
  <si>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</si>
  <si>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</si>
  <si>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</si>
  <si>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</si>
  <si>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</si>
  <si>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</si>
  <si>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</si>
  <si>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</si>
  <si>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</si>
  <si>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</si>
  <si>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</si>
  <si>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</si>
  <si>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</si>
  <si>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</si>
  <si>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</si>
  <si>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</si>
  <si>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</si>
  <si>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</si>
  <si>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</si>
  <si>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</si>
  <si>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</si>
  <si>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</si>
  <si>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</si>
  <si>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</si>
  <si>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</si>
  <si>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</si>
  <si>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</si>
  <si>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</si>
  <si>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</si>
  <si>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</si>
  <si>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</si>
  <si>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</si>
  <si>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</si>
  <si>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</si>
  <si>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</si>
  <si>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</si>
  <si>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</si>
  <si>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</si>
  <si>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</si>
  <si>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</si>
  <si>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</si>
  <si>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</si>
  <si>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</si>
  <si>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</si>
  <si>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</si>
  <si>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</si>
  <si>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</si>
  <si>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</si>
  <si>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</si>
  <si>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</si>
  <si>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</si>
  <si>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</si>
  <si>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</si>
  <si>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</si>
  <si>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</si>
  <si>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</si>
  <si>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</si>
  <si>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</si>
  <si>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</si>
  <si>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</si>
  <si>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</si>
  <si>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</si>
  <si>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</si>
  <si>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</si>
  <si>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</si>
  <si>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</si>
  <si>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</si>
  <si>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</si>
  <si>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</si>
  <si>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</si>
  <si>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</si>
  <si>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</si>
  <si>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</si>
  <si>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</si>
  <si>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</si>
  <si>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</si>
  <si>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</si>
  <si>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</si>
  <si>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</si>
  <si>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</si>
  <si>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</si>
  <si>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</si>
  <si>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</si>
  <si>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</si>
  <si>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</si>
  <si>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</si>
  <si>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</si>
  <si>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</si>
  <si>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</si>
  <si>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</si>
  <si>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</si>
  <si>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</si>
  <si>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</si>
  <si>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</si>
  <si>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</si>
  <si>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</si>
  <si>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</si>
  <si>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</si>
  <si>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</si>
  <si>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</si>
  <si>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</si>
  <si>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</si>
  <si>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</si>
  <si>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</si>
  <si>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</si>
  <si>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</si>
  <si>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</si>
  <si>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</si>
  <si>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</si>
  <si>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</si>
  <si>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</si>
  <si>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</si>
  <si>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</si>
  <si>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</si>
  <si>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</si>
  <si>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</si>
  <si>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</si>
  <si>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</si>
  <si>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</si>
  <si>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</si>
  <si>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</si>
  <si>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</si>
  <si>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</si>
  <si>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</si>
  <si>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</si>
  <si>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</si>
  <si>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</si>
  <si>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</si>
  <si>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</si>
  <si>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</si>
  <si>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</si>
  <si>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</si>
  <si>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</si>
  <si>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</si>
  <si>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</si>
  <si>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</si>
  <si>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</si>
  <si>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</si>
  <si>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</si>
  <si>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</si>
  <si>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</si>
  <si>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</si>
  <si>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</si>
  <si>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</si>
  <si>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</si>
  <si>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</si>
  <si>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</si>
  <si>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</si>
  <si>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</si>
  <si>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</si>
  <si>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</si>
  <si>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</si>
  <si>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</si>
  <si>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</si>
  <si>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</si>
  <si>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</si>
  <si>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</si>
  <si>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</si>
  <si>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</si>
  <si>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</si>
  <si>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</si>
  <si>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</si>
  <si>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(2018)</t>
  </si>
  <si>
    <t>All Stocks (2017)</t>
  </si>
  <si>
    <t>2017 Total Daily Volume</t>
  </si>
  <si>
    <t>2018 Total Daily Volume</t>
  </si>
  <si>
    <t>2017 Return</t>
  </si>
  <si>
    <t>2018 Return</t>
  </si>
  <si>
    <t>All Stocks (2017 vs 2018)</t>
  </si>
  <si>
    <t>Volume Change YOY</t>
  </si>
  <si>
    <t>Return Change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</si>
</sst>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0" fillId="0" borderId="6" xfId="0" applyBorder="1"/>
    <xf numFmtId="3" fontId="0" fillId="0" borderId="1" xfId="0" applyNumberFormat="1" applyBorder="1"/>
    <xf numFmtId="164" fontId="0" fillId="0" borderId="1" xfId="0" applyNumberFormat="1" applyFill="1" applyBorder="1"/>
    <xf numFmtId="164" fontId="0" fillId="0" borderId="1" xfId="1" applyNumberFormat="1" applyFont="1" applyBorder="1"/>
    <xf numFmtId="164" fontId="0" fillId="0" borderId="7" xfId="0" applyNumberFormat="1" applyBorder="1"/>
    <xf numFmtId="0" fontId="0" fillId="0" borderId="8" xfId="0" applyBorder="1"/>
    <xf numFmtId="3" fontId="0" fillId="0" borderId="9" xfId="0" applyNumberFormat="1" applyBorder="1"/>
    <xf numFmtId="164" fontId="0" fillId="0" borderId="9" xfId="0" applyNumberFormat="1" applyFill="1" applyBorder="1"/>
    <xf numFmtId="164" fontId="0" fillId="0" borderId="9" xfId="1" applyNumberFormat="1" applyFont="1" applyBorder="1"/>
    <xf numFmtId="164" fontId="0" fillId="0" borderId="10" xfId="0" applyNumberFormat="1" applyBorder="1"/>
  </cellXfs>
  <cellStyles count="2">
    <cellStyle name="Normal" xfId="0" builtinId="0"/>
    <cellStyle name="Percent" xfId="1" builtinId="5"/>
  </cellStyles>
  <dxfs count="22">
    <dxf>
      <numFmt numFmtId="164" formatCode="0.0%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4" formatCode="0.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%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0.0%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%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0.0%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6" tint="-0.24994659260841701"/>
      </font>
    </dxf>
    <dxf>
      <font>
        <u val="none"/>
        <color theme="5"/>
      </font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4BACC6"/>
      <color rgb="FFF896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Total Volume 2017</a:t>
            </a:r>
            <a:r>
              <a:rPr lang="en-US" baseline="0">
                <a:solidFill>
                  <a:schemeClr val="tx1"/>
                </a:solidFill>
              </a:rPr>
              <a:t> vs. 2018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Charts'!$B$3</c:f>
              <c:strCache>
                <c:ptCount val="1"/>
                <c:pt idx="0">
                  <c:v>2017 Total Daily Volume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8B-4A4F-AC7B-A8C31112F6F1}"/>
            </c:ext>
          </c:extLst>
        </c:ser>
        <c:ser>
          <c:idx val="1"/>
          <c:order val="1"/>
          <c:tx>
            <c:strRef>
              <c:f>'Analysis Table and Charts'!$C$3</c:f>
              <c:strCache>
                <c:ptCount val="1"/>
                <c:pt idx="0">
                  <c:v>2018 Total Daily Volume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Charts'!$C$4:$C$15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8B-4A4F-AC7B-A8C31112F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3689343"/>
        <c:axId val="353690991"/>
      </c:barChart>
      <c:catAx>
        <c:axId val="3536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90991"/>
        <c:crosses val="autoZero"/>
        <c:auto val="1"/>
        <c:lblAlgn val="ctr"/>
        <c:lblOffset val="100"/>
        <c:noMultiLvlLbl val="0"/>
      </c:catAx>
      <c:valAx>
        <c:axId val="35369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93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Return</a:t>
            </a:r>
            <a:r>
              <a:rPr lang="en-US" baseline="0">
                <a:solidFill>
                  <a:schemeClr val="tx1"/>
                </a:solidFill>
              </a:rPr>
              <a:t> 2017 vs. 2018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Charts'!$D$3</c:f>
              <c:strCache>
                <c:ptCount val="1"/>
                <c:pt idx="0">
                  <c:v>2017 Return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Charts'!$D$4:$D$15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7-DB4B-AEFB-E0C14BF40324}"/>
            </c:ext>
          </c:extLst>
        </c:ser>
        <c:ser>
          <c:idx val="1"/>
          <c:order val="1"/>
          <c:tx>
            <c:strRef>
              <c:f>'Analysis Table and Charts'!$E$3</c:f>
              <c:strCache>
                <c:ptCount val="1"/>
                <c:pt idx="0">
                  <c:v>2018 Return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Charts'!$E$4:$E$15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87-DB4B-AEFB-E0C14BF40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3808959"/>
        <c:axId val="353639519"/>
      </c:barChart>
      <c:catAx>
        <c:axId val="55380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39519"/>
        <c:crosses val="autoZero"/>
        <c:auto val="1"/>
        <c:lblAlgn val="ctr"/>
        <c:lblOffset val="100"/>
        <c:noMultiLvlLbl val="0"/>
      </c:catAx>
      <c:valAx>
        <c:axId val="353639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08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2017 Total</a:t>
            </a:r>
            <a:r>
              <a:rPr lang="en-US" baseline="0">
                <a:solidFill>
                  <a:schemeClr val="tx1"/>
                </a:solidFill>
              </a:rPr>
              <a:t> Daily Volume vs. Return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Charts'!$B$3</c:f>
              <c:strCache>
                <c:ptCount val="1"/>
                <c:pt idx="0">
                  <c:v>2017 Total Daily 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7-4A4C-9DC6-14410AF28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8895072"/>
        <c:axId val="1488756064"/>
      </c:barChart>
      <c:scatterChart>
        <c:scatterStyle val="lineMarker"/>
        <c:varyColors val="0"/>
        <c:ser>
          <c:idx val="1"/>
          <c:order val="1"/>
          <c:tx>
            <c:strRef>
              <c:f>'Analysis Table and Charts'!$D$3</c:f>
              <c:strCache>
                <c:ptCount val="1"/>
                <c:pt idx="0">
                  <c:v>2017 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xVal>
          <c:yVal>
            <c:numRef>
              <c:f>'Analysis Table and Charts'!$D$4:$D$15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67-4A4C-9DC6-14410AF28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844528"/>
        <c:axId val="1860031536"/>
      </c:scatterChart>
      <c:catAx>
        <c:axId val="148889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756064"/>
        <c:crosses val="autoZero"/>
        <c:auto val="1"/>
        <c:lblAlgn val="ctr"/>
        <c:lblOffset val="100"/>
        <c:noMultiLvlLbl val="0"/>
      </c:catAx>
      <c:valAx>
        <c:axId val="14887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89507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860031536"/>
        <c:scaling>
          <c:orientation val="minMax"/>
          <c:max val="2"/>
          <c:min val="-1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844528"/>
        <c:crosses val="max"/>
        <c:crossBetween val="midCat"/>
      </c:valAx>
      <c:valAx>
        <c:axId val="1859844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60031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2018 Total</a:t>
            </a:r>
            <a:r>
              <a:rPr lang="en-US" baseline="0">
                <a:solidFill>
                  <a:schemeClr val="tx1"/>
                </a:solidFill>
              </a:rPr>
              <a:t> Daily Volume vs. Return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Charts'!$C$3</c:f>
              <c:strCache>
                <c:ptCount val="1"/>
                <c:pt idx="0">
                  <c:v>2018 Total Daily 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Charts'!$C$4:$C$15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D7-9044-B54E-41E83D6CB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8895072"/>
        <c:axId val="1488756064"/>
      </c:barChart>
      <c:scatterChart>
        <c:scatterStyle val="lineMarker"/>
        <c:varyColors val="0"/>
        <c:ser>
          <c:idx val="1"/>
          <c:order val="1"/>
          <c:tx>
            <c:strRef>
              <c:f>'Analysis Table and Charts'!$E$3</c:f>
              <c:strCache>
                <c:ptCount val="1"/>
                <c:pt idx="0">
                  <c:v>2018 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xVal>
          <c:yVal>
            <c:numRef>
              <c:f>'Analysis Table and Charts'!$E$4:$E$15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D7-9044-B54E-41E83D6CB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844528"/>
        <c:axId val="1860031536"/>
      </c:scatterChart>
      <c:catAx>
        <c:axId val="148889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756064"/>
        <c:crosses val="autoZero"/>
        <c:auto val="1"/>
        <c:lblAlgn val="ctr"/>
        <c:lblOffset val="100"/>
        <c:noMultiLvlLbl val="0"/>
      </c:catAx>
      <c:valAx>
        <c:axId val="14887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89507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860031536"/>
        <c:scaling>
          <c:orientation val="minMax"/>
          <c:max val="2"/>
          <c:min val="-1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844528"/>
        <c:crosses val="max"/>
        <c:crossBetween val="midCat"/>
      </c:valAx>
      <c:valAx>
        <c:axId val="1859844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60031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787400</xdr:colOff>
          <xdr:row>0</xdr:row>
          <xdr:rowOff>76200</xdr:rowOff>
        </xdr:from>
        <xdr:to>
          <xdr:col>4</xdr:col>
          <xdr:colOff>660400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177800</xdr:rowOff>
        </xdr:from>
        <xdr:to>
          <xdr:col>4</xdr:col>
          <xdr:colOff>431800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508000</xdr:colOff>
          <xdr:row>3</xdr:row>
          <xdr:rowOff>88900</xdr:rowOff>
        </xdr:from>
        <xdr:to>
          <xdr:col>5</xdr:col>
          <xdr:colOff>431800</xdr:colOff>
          <xdr:row>4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736600</xdr:colOff>
          <xdr:row>8</xdr:row>
          <xdr:rowOff>25400</xdr:rowOff>
        </xdr:from>
        <xdr:to>
          <xdr:col>5</xdr:col>
          <xdr:colOff>165100</xdr:colOff>
          <xdr:row>9</xdr:row>
          <xdr:rowOff>88900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406400</xdr:colOff>
          <xdr:row>5</xdr:row>
          <xdr:rowOff>165100</xdr:rowOff>
        </xdr:from>
        <xdr:to>
          <xdr:col>5</xdr:col>
          <xdr:colOff>533400</xdr:colOff>
          <xdr:row>7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Refactored Analysis For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25988</xdr:colOff>
      <xdr:row>17</xdr:row>
      <xdr:rowOff>68385</xdr:rowOff>
    </xdr:from>
    <xdr:to>
      <xdr:col>3</xdr:col>
      <xdr:colOff>563296</xdr:colOff>
      <xdr:row>31</xdr:row>
      <xdr:rowOff>62950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579752</xdr:colOff>
      <xdr:row>17</xdr:row>
      <xdr:rowOff>68385</xdr:rowOff>
    </xdr:from>
    <xdr:to>
      <xdr:col>6</xdr:col>
      <xdr:colOff>1195213</xdr:colOff>
      <xdr:row>31</xdr:row>
      <xdr:rowOff>65510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29307</xdr:colOff>
      <xdr:row>31</xdr:row>
      <xdr:rowOff>74671</xdr:rowOff>
    </xdr:from>
    <xdr:to>
      <xdr:col>3</xdr:col>
      <xdr:colOff>566615</xdr:colOff>
      <xdr:row>45</xdr:row>
      <xdr:rowOff>82485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579041</xdr:colOff>
      <xdr:row>31</xdr:row>
      <xdr:rowOff>77110</xdr:rowOff>
    </xdr:from>
    <xdr:to>
      <xdr:col>6</xdr:col>
      <xdr:colOff>1194502</xdr:colOff>
      <xdr:row>45</xdr:row>
      <xdr:rowOff>84924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8CA82D-E86E-0D40-A224-1A71BA5CE7AB}" name="Table1" displayName="Table1" ref="A3:G15" totalsRowShown="0" headerRowDxfId="17" headerRowBorderDxfId="16" tableBorderDxfId="15" totalsRowBorderDxfId="14">
  <autoFilter ref="A3:G15" xr:uid="{A8A68C4E-82E1-2B49-A7CB-754A93F46901}"/>
  <tableColumns count="7">
    <tableColumn id="1" xr3:uid="{EB4A03FF-4FCE-3B45-96A6-79868D9CD568}" name="Ticker" dataDxfId="13" totalsRowDxfId="12"/>
    <tableColumn id="2" xr3:uid="{A2BDF472-98AF-9F4F-9451-99D27C1EB847}" name="2017 Total Daily Volume" dataDxfId="11" totalsRowDxfId="10"/>
    <tableColumn id="3" xr3:uid="{ECD2DE60-061B-9F48-8138-15670FE3509C}" name="2018 Total Daily Volume" dataDxfId="9" totalsRowDxfId="8"/>
    <tableColumn id="4" xr3:uid="{8570F164-2E78-E343-90E6-9DBA8A02702F}" name="2017 Return" dataDxfId="7" totalsRowDxfId="6"/>
    <tableColumn id="5" xr3:uid="{9A82CBC9-4077-1644-AA27-551F2912DEEB}" name="2018 Return" dataDxfId="5" totalsRowDxfId="4"/>
    <tableColumn id="6" xr3:uid="{7FE5D966-96FD-F142-8A1D-EA37D4C51E3A}" name="Volume Change YOY" dataDxfId="3" totalsRowDxfId="2" dataCellStyle="Percent" totalsRowCellStyle="Percent">
      <calculatedColumnFormula>(C4-B4)/B4</calculatedColumnFormula>
    </tableColumn>
    <tableColumn id="7" xr3:uid="{FDC806E4-A642-1C4C-8B31-F230B279135C}" name="Return Change YOY" dataDxfId="1" totalsRowDxfId="0">
      <calculatedColumnFormula>(E4-D4)/D4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25" zoomScaleNormal="266" workbookViewId="0">
      <selection activeCell="K14" sqref="K14"/>
    </sheetView>
  </sheetViews>
  <sheetFormatPr baseColWidth="10" defaultColWidth="8.83203125" defaultRowHeight="15" x14ac:dyDescent="0.2"/>
  <cols>
    <col min="1" max="1" width="5.83203125" bestFit="1" customWidth="1"/>
    <col min="2" max="7" width="10.1640625" bestFit="1" customWidth="1"/>
    <col min="8" max="8" width="9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82" workbookViewId="0">
      <selection activeCell="F2" sqref="F2"/>
    </sheetView>
  </sheetViews>
  <sheetFormatPr baseColWidth="10" defaultColWidth="8.83203125" defaultRowHeight="15" x14ac:dyDescent="0.2"/>
  <cols>
    <col min="1" max="1" width="5.83203125" bestFit="1" customWidth="1"/>
    <col min="2" max="7" width="10.1640625" bestFit="1" customWidth="1"/>
    <col min="8" max="8" width="9.1640625" bestFit="1" customWidth="1"/>
  </cols>
  <sheetData>
    <row r="1" spans="1:8" x14ac:dyDescent="0.2">
      <c r="A1" s="1" t="s">
        <v>527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AED7A-F436-D349-98AE-6D8497D4029F}">
  <sheetPr codeName="Sheet3"/>
  <dimension ref="A1:C4"/>
  <sheetViews>
    <sheetView zoomScale="166" zoomScaleNormal="318" workbookViewId="0">
      <selection activeCell="C4" sqref="C4"/>
    </sheetView>
  </sheetViews>
  <sheetFormatPr baseColWidth="10" defaultRowHeight="15" x14ac:dyDescent="0.2"/>
  <cols>
    <col min="1" max="1" width="14.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QAnalysis">
                <anchor moveWithCells="1" sizeWithCells="1">
                  <from>
                    <xdr:col>2</xdr:col>
                    <xdr:colOff>787400</xdr:colOff>
                    <xdr:row>0</xdr:row>
                    <xdr:rowOff>76200</xdr:rowOff>
                  </from>
                  <to>
                    <xdr:col>4</xdr:col>
                    <xdr:colOff>660400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203200</xdr:colOff>
                    <xdr:row>1</xdr:row>
                    <xdr:rowOff>177800</xdr:rowOff>
                  </from>
                  <to>
                    <xdr:col>4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AED18-448C-AE42-917B-EA026D82E7D8}">
  <sheetPr codeName="Sheet4"/>
  <dimension ref="A1:C15"/>
  <sheetViews>
    <sheetView tabSelected="1" zoomScale="150" zoomScaleNormal="277" workbookViewId="0">
      <selection activeCell="E19" sqref="E19"/>
    </sheetView>
  </sheetViews>
  <sheetFormatPr baseColWidth="10" defaultRowHeight="15" x14ac:dyDescent="0.2"/>
  <cols>
    <col min="2" max="2" width="15.832031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83079900</v>
      </c>
      <c r="C4" s="5">
        <v>-7.2847634553909302E-2</v>
      </c>
    </row>
    <row r="5" spans="1:3" x14ac:dyDescent="0.2">
      <c r="A5" t="s">
        <v>9</v>
      </c>
      <c r="B5" s="3">
        <v>200879900</v>
      </c>
      <c r="C5" s="5">
        <v>-0.16336052119731903</v>
      </c>
    </row>
    <row r="6" spans="1:3" x14ac:dyDescent="0.2">
      <c r="A6" t="s">
        <v>10</v>
      </c>
      <c r="B6" s="3">
        <v>107873900</v>
      </c>
      <c r="C6" s="5">
        <v>-0.62601888179779053</v>
      </c>
    </row>
    <row r="7" spans="1:3" x14ac:dyDescent="0.2">
      <c r="A7" t="s">
        <v>11</v>
      </c>
      <c r="B7" s="3">
        <v>607473500</v>
      </c>
      <c r="C7" s="4">
        <v>0.81923085451126099</v>
      </c>
    </row>
    <row r="8" spans="1:3" x14ac:dyDescent="0.2">
      <c r="A8" t="s">
        <v>12</v>
      </c>
      <c r="B8" s="3">
        <v>478113900</v>
      </c>
      <c r="C8" s="5">
        <v>-0.39713191986083984</v>
      </c>
    </row>
    <row r="9" spans="1:3" x14ac:dyDescent="0.2">
      <c r="A9" t="s">
        <v>13</v>
      </c>
      <c r="B9" s="3">
        <v>104340600</v>
      </c>
      <c r="C9" s="5">
        <v>-0.20658062398433685</v>
      </c>
    </row>
    <row r="10" spans="1:3" x14ac:dyDescent="0.2">
      <c r="A10" t="s">
        <v>14</v>
      </c>
      <c r="B10" s="3">
        <v>158309000</v>
      </c>
      <c r="C10" s="5">
        <v>-0.6053471565246582</v>
      </c>
    </row>
    <row r="11" spans="1:3" x14ac:dyDescent="0.2">
      <c r="A11" t="s">
        <v>15</v>
      </c>
      <c r="B11" s="3">
        <v>502757100</v>
      </c>
      <c r="C11" s="4">
        <v>0.83952707052230835</v>
      </c>
    </row>
    <row r="12" spans="1:3" x14ac:dyDescent="0.2">
      <c r="A12" t="s">
        <v>16</v>
      </c>
      <c r="B12" s="3">
        <v>237212300</v>
      </c>
      <c r="C12" s="5">
        <v>-7.7529586851596832E-2</v>
      </c>
    </row>
    <row r="13" spans="1:3" x14ac:dyDescent="0.2">
      <c r="A13" t="s">
        <v>17</v>
      </c>
      <c r="B13" s="3">
        <v>538024300</v>
      </c>
      <c r="C13" s="5">
        <v>-0.44593092799186707</v>
      </c>
    </row>
    <row r="14" spans="1:3" x14ac:dyDescent="0.2">
      <c r="A14" t="s">
        <v>18</v>
      </c>
      <c r="B14" s="3">
        <v>151434700</v>
      </c>
      <c r="C14" s="5">
        <v>-4.9957673996686935E-2</v>
      </c>
    </row>
    <row r="15" spans="1:3" x14ac:dyDescent="0.2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AllStocksAnalysis">
                <anchor moveWithCells="1" sizeWithCells="1">
                  <from>
                    <xdr:col>3</xdr:col>
                    <xdr:colOff>508000</xdr:colOff>
                    <xdr:row>3</xdr:row>
                    <xdr:rowOff>88900</xdr:rowOff>
                  </from>
                  <to>
                    <xdr:col>5</xdr:col>
                    <xdr:colOff>431800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Worksheet">
                <anchor moveWithCells="1" sizeWithCells="1">
                  <from>
                    <xdr:col>3</xdr:col>
                    <xdr:colOff>736600</xdr:colOff>
                    <xdr:row>8</xdr:row>
                    <xdr:rowOff>25400</xdr:rowOff>
                  </from>
                  <to>
                    <xdr:col>5</xdr:col>
                    <xdr:colOff>165100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406400</xdr:colOff>
                    <xdr:row>5</xdr:row>
                    <xdr:rowOff>165100</xdr:rowOff>
                  </from>
                  <to>
                    <xdr:col>5</xdr:col>
                    <xdr:colOff>533400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230D8-9858-3140-9765-F59679F13E05}">
  <sheetPr codeName="Sheet5">
    <pageSetUpPr fitToPage="1"/>
  </sheetPr>
  <dimension ref="A1:G15"/>
  <sheetViews>
    <sheetView zoomScale="130" zoomScaleNormal="130" workbookViewId="0">
      <selection activeCell="J29" sqref="J29"/>
    </sheetView>
  </sheetViews>
  <sheetFormatPr baseColWidth="10" defaultRowHeight="15" x14ac:dyDescent="0.2"/>
  <cols>
    <col min="2" max="2" width="20.83203125" customWidth="1"/>
    <col min="3" max="3" width="21.1640625" bestFit="1" customWidth="1"/>
    <col min="4" max="4" width="15.6640625" customWidth="1"/>
    <col min="5" max="5" width="18.5" customWidth="1"/>
    <col min="6" max="6" width="17.83203125" customWidth="1"/>
    <col min="7" max="7" width="17.33203125" customWidth="1"/>
  </cols>
  <sheetData>
    <row r="1" spans="1:7" x14ac:dyDescent="0.2">
      <c r="A1" t="s">
        <v>532</v>
      </c>
    </row>
    <row r="3" spans="1:7" x14ac:dyDescent="0.2">
      <c r="A3" s="6" t="s">
        <v>0</v>
      </c>
      <c r="B3" s="7" t="s">
        <v>528</v>
      </c>
      <c r="C3" s="7" t="s">
        <v>529</v>
      </c>
      <c r="D3" s="7" t="s">
        <v>530</v>
      </c>
      <c r="E3" s="7" t="s">
        <v>531</v>
      </c>
      <c r="F3" s="7" t="s">
        <v>533</v>
      </c>
      <c r="G3" s="8" t="s">
        <v>534</v>
      </c>
    </row>
    <row r="4" spans="1:7" x14ac:dyDescent="0.2">
      <c r="A4" s="9" t="s">
        <v>8</v>
      </c>
      <c r="B4" s="10">
        <v>136070900</v>
      </c>
      <c r="C4" s="10">
        <v>83079900</v>
      </c>
      <c r="D4" s="11">
        <v>8.9368253946304321E-2</v>
      </c>
      <c r="E4" s="11">
        <v>-7.2847634553909302E-2</v>
      </c>
      <c r="F4" s="12">
        <f>(C4-B4)/B4</f>
        <v>-0.38943668337609288</v>
      </c>
      <c r="G4" s="13">
        <f>(E4-D4)/D4</f>
        <v>-1.8151399556007752</v>
      </c>
    </row>
    <row r="5" spans="1:7" x14ac:dyDescent="0.2">
      <c r="A5" s="9" t="s">
        <v>9</v>
      </c>
      <c r="B5" s="10">
        <v>310592800</v>
      </c>
      <c r="C5" s="10">
        <v>200879900</v>
      </c>
      <c r="D5" s="11">
        <v>0.33070248365402222</v>
      </c>
      <c r="E5" s="11">
        <v>-0.16336052119731903</v>
      </c>
      <c r="F5" s="12">
        <f t="shared" ref="F5:F15" si="0">(C5-B5)/B5</f>
        <v>-0.35323710015170989</v>
      </c>
      <c r="G5" s="13">
        <f t="shared" ref="G5:G15" si="1">(E5-D5)/D5</f>
        <v>-1.4939803275509271</v>
      </c>
    </row>
    <row r="6" spans="1:7" x14ac:dyDescent="0.2">
      <c r="A6" s="9" t="s">
        <v>10</v>
      </c>
      <c r="B6" s="10">
        <v>35796200</v>
      </c>
      <c r="C6" s="10">
        <v>107873900</v>
      </c>
      <c r="D6" s="11">
        <v>1.9944583177566528</v>
      </c>
      <c r="E6" s="11">
        <v>-0.62601888179779053</v>
      </c>
      <c r="F6" s="12">
        <f t="shared" si="0"/>
        <v>2.0135573049653317</v>
      </c>
      <c r="G6" s="13">
        <f t="shared" si="1"/>
        <v>-1.3138791501553817</v>
      </c>
    </row>
    <row r="7" spans="1:7" x14ac:dyDescent="0.2">
      <c r="A7" s="9" t="s">
        <v>11</v>
      </c>
      <c r="B7" s="10">
        <v>221772100</v>
      </c>
      <c r="C7" s="10">
        <v>607473500</v>
      </c>
      <c r="D7" s="11">
        <v>1.2952382564544678</v>
      </c>
      <c r="E7" s="11">
        <v>0.81923085451126099</v>
      </c>
      <c r="F7" s="12">
        <f t="shared" si="0"/>
        <v>1.7391790942142857</v>
      </c>
      <c r="G7" s="13">
        <f t="shared" si="1"/>
        <v>-0.36750566899267628</v>
      </c>
    </row>
    <row r="8" spans="1:7" x14ac:dyDescent="0.2">
      <c r="A8" s="9" t="s">
        <v>12</v>
      </c>
      <c r="B8" s="10">
        <v>684181400</v>
      </c>
      <c r="C8" s="10">
        <v>478113900</v>
      </c>
      <c r="D8" s="11">
        <v>1.0131185054779053</v>
      </c>
      <c r="E8" s="11">
        <v>-0.39713191986083984</v>
      </c>
      <c r="F8" s="12">
        <f t="shared" si="0"/>
        <v>-0.3011883982815084</v>
      </c>
      <c r="G8" s="13">
        <f t="shared" si="1"/>
        <v>-1.3919896021181708</v>
      </c>
    </row>
    <row r="9" spans="1:7" x14ac:dyDescent="0.2">
      <c r="A9" s="9" t="s">
        <v>13</v>
      </c>
      <c r="B9" s="10">
        <v>80949300</v>
      </c>
      <c r="C9" s="10">
        <v>104340600</v>
      </c>
      <c r="D9" s="11">
        <v>0.2583681046962738</v>
      </c>
      <c r="E9" s="11">
        <v>-0.20658062398433685</v>
      </c>
      <c r="F9" s="12">
        <f t="shared" si="0"/>
        <v>0.28896235050828112</v>
      </c>
      <c r="G9" s="13">
        <f t="shared" si="1"/>
        <v>-1.7995593118089555</v>
      </c>
    </row>
    <row r="10" spans="1:7" x14ac:dyDescent="0.2">
      <c r="A10" s="9" t="s">
        <v>14</v>
      </c>
      <c r="B10" s="10">
        <v>191632200</v>
      </c>
      <c r="C10" s="10">
        <v>158309000</v>
      </c>
      <c r="D10" s="11">
        <v>0.53870755434036255</v>
      </c>
      <c r="E10" s="11">
        <v>-0.6053471565246582</v>
      </c>
      <c r="F10" s="12">
        <f t="shared" si="0"/>
        <v>-0.17389144413099678</v>
      </c>
      <c r="G10" s="13">
        <f t="shared" si="1"/>
        <v>-2.1237027430697433</v>
      </c>
    </row>
    <row r="11" spans="1:7" x14ac:dyDescent="0.2">
      <c r="A11" s="9" t="s">
        <v>15</v>
      </c>
      <c r="B11" s="10">
        <v>267681300</v>
      </c>
      <c r="C11" s="10">
        <v>502757100</v>
      </c>
      <c r="D11" s="11">
        <v>5.5456161499023438E-2</v>
      </c>
      <c r="E11" s="11">
        <v>0.83952707052230835</v>
      </c>
      <c r="F11" s="12">
        <f t="shared" si="0"/>
        <v>0.87819283603299891</v>
      </c>
      <c r="G11" s="13">
        <f t="shared" si="1"/>
        <v>14.138571582115219</v>
      </c>
    </row>
    <row r="12" spans="1:7" x14ac:dyDescent="0.2">
      <c r="A12" s="9" t="s">
        <v>16</v>
      </c>
      <c r="B12" s="10">
        <v>206885200</v>
      </c>
      <c r="C12" s="10">
        <v>237212300</v>
      </c>
      <c r="D12" s="11">
        <v>1.8446969985961914</v>
      </c>
      <c r="E12" s="11">
        <v>-7.7529586851596832E-2</v>
      </c>
      <c r="F12" s="12">
        <f t="shared" si="0"/>
        <v>0.14658902618456998</v>
      </c>
      <c r="G12" s="13">
        <f t="shared" si="1"/>
        <v>-1.0420283585383381</v>
      </c>
    </row>
    <row r="13" spans="1:7" x14ac:dyDescent="0.2">
      <c r="A13" s="9" t="s">
        <v>17</v>
      </c>
      <c r="B13" s="10">
        <v>782187000</v>
      </c>
      <c r="C13" s="10">
        <v>538024300</v>
      </c>
      <c r="D13" s="11">
        <v>0.23065699636936188</v>
      </c>
      <c r="E13" s="11">
        <v>-0.44593092799186707</v>
      </c>
      <c r="F13" s="12">
        <f t="shared" si="0"/>
        <v>-0.31215387113311777</v>
      </c>
      <c r="G13" s="13">
        <f t="shared" si="1"/>
        <v>-2.933307616985426</v>
      </c>
    </row>
    <row r="14" spans="1:7" x14ac:dyDescent="0.2">
      <c r="A14" s="9" t="s">
        <v>18</v>
      </c>
      <c r="B14" s="10">
        <v>139402800</v>
      </c>
      <c r="C14" s="10">
        <v>151434700</v>
      </c>
      <c r="D14" s="11">
        <v>-7.2148971259593964E-2</v>
      </c>
      <c r="E14" s="11">
        <v>-4.9957673996686935E-2</v>
      </c>
      <c r="F14" s="12">
        <f t="shared" si="0"/>
        <v>8.6310318013698428E-2</v>
      </c>
      <c r="G14" s="13">
        <f t="shared" si="1"/>
        <v>-0.30757607316481528</v>
      </c>
    </row>
    <row r="15" spans="1:7" x14ac:dyDescent="0.2">
      <c r="A15" s="14" t="s">
        <v>19</v>
      </c>
      <c r="B15" s="15">
        <v>109487900</v>
      </c>
      <c r="C15" s="15">
        <v>136539100</v>
      </c>
      <c r="D15" s="16">
        <v>0.50000005960464478</v>
      </c>
      <c r="E15" s="16">
        <v>-3.5443063825368881E-2</v>
      </c>
      <c r="F15" s="17">
        <f t="shared" si="0"/>
        <v>0.24707022419829042</v>
      </c>
      <c r="G15" s="18">
        <f t="shared" si="1"/>
        <v>-1.070886119200454</v>
      </c>
    </row>
  </sheetData>
  <phoneticPr fontId="3" type="noConversion"/>
  <conditionalFormatting sqref="D4:E15">
    <cfRule type="cellIs" dxfId="21" priority="3" operator="lessThan">
      <formula>0</formula>
    </cfRule>
    <cfRule type="cellIs" dxfId="20" priority="4" operator="greaterThan">
      <formula>0</formula>
    </cfRule>
  </conditionalFormatting>
  <conditionalFormatting sqref="F4:G15">
    <cfRule type="cellIs" dxfId="19" priority="1" operator="lessThan">
      <formula>0</formula>
    </cfRule>
    <cfRule type="cellIs" dxfId="18" priority="2" operator="greaterThan">
      <formula>0</formula>
    </cfRule>
  </conditionalFormatting>
  <pageMargins left="0.7" right="0.7" top="0.75" bottom="0.75" header="0.3" footer="0.3"/>
  <pageSetup scale="79" orientation="landscape" horizontalDpi="0" verticalDpi="0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Analysis Table and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Haolun Wei</cp:lastModifiedBy>
  <cp:lastPrinted>2021-06-26T01:11:12Z</cp:lastPrinted>
  <dcterms:created xsi:type="dcterms:W3CDTF">2019-05-02T20:23:55Z</dcterms:created>
  <dcterms:modified xsi:type="dcterms:W3CDTF">2021-06-29T00:39:14Z</dcterms:modified>
</cp:coreProperties>
</file>